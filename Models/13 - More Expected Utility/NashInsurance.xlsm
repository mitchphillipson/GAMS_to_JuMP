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iskAnalysis\Homework\hw2\"/>
    </mc:Choice>
  </mc:AlternateContent>
  <xr:revisionPtr revIDLastSave="0" documentId="13_ncr:1_{99F9127F-62F5-4F81-BB8E-40F5E52535B9}" xr6:coauthVersionLast="46" xr6:coauthVersionMax="46" xr10:uidLastSave="{00000000-0000-0000-0000-000000000000}"/>
  <bookViews>
    <workbookView xWindow="-120" yWindow="-120" windowWidth="29040" windowHeight="17640" xr2:uid="{6D423C43-3BA9-490B-AEB0-8B77AE0563EE}"/>
  </bookViews>
  <sheets>
    <sheet name="Model" sheetId="1" r:id="rId1"/>
  </sheets>
  <definedNames>
    <definedName name="C_B">Model!$H$9</definedName>
    <definedName name="C_G">Model!$H$8</definedName>
    <definedName name="GAMMA">Model!$H$7</definedName>
    <definedName name="gammamax">Model!$C$7</definedName>
    <definedName name="K">Model!$H$6</definedName>
    <definedName name="k0">Model!$C$6</definedName>
    <definedName name="L">Model!$C$3</definedName>
    <definedName name="M">Model!$H$5</definedName>
    <definedName name="nfirm">Model!$C$8</definedName>
    <definedName name="P_B">Model!$H$3</definedName>
    <definedName name="P_C">Model!$H$4</definedName>
    <definedName name="P_G">Model!$H$2</definedName>
    <definedName name="pi">Model!$C$2</definedName>
    <definedName name="pi0">Model!$C$5</definedName>
    <definedName name="PROFIT">Model!$H$10</definedName>
    <definedName name="sigma">Model!$C$4</definedName>
    <definedName name="solver_adj" localSheetId="0" hidden="1">Model!$H$3:$H$9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Model!$D$15:$D$20</definedName>
    <definedName name="solver_lhs2" localSheetId="0" hidden="1">Model!$H$7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Model!$H$10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1</definedName>
    <definedName name="solver_rhs1" localSheetId="0" hidden="1">0</definedName>
    <definedName name="solver_rhs2" localSheetId="0" hidden="1">0.0186152024578942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1" l="1"/>
  <c r="H10" i="1" l="1"/>
  <c r="C7" i="1"/>
  <c r="I9" i="1"/>
  <c r="I8" i="1"/>
  <c r="I7" i="1"/>
  <c r="I6" i="1"/>
  <c r="I5" i="1"/>
  <c r="I4" i="1"/>
  <c r="I3" i="1"/>
  <c r="I2" i="1"/>
  <c r="B19" i="1"/>
  <c r="B18" i="1"/>
  <c r="B16" i="1"/>
  <c r="B17" i="1"/>
  <c r="C20" i="1"/>
  <c r="B14" i="1"/>
  <c r="F20" i="1"/>
  <c r="F15" i="1"/>
  <c r="I10" i="1"/>
  <c r="F19" i="1"/>
  <c r="F18" i="1"/>
  <c r="F14" i="1"/>
  <c r="F17" i="1"/>
  <c r="F16" i="1"/>
  <c r="B15" i="1" l="1"/>
  <c r="C14" i="1"/>
  <c r="D14" i="1" s="1"/>
  <c r="C15" i="1"/>
  <c r="C19" i="1"/>
  <c r="D19" i="1" s="1"/>
  <c r="C18" i="1"/>
  <c r="D18" i="1" s="1"/>
  <c r="B20" i="1"/>
  <c r="D20" i="1" s="1"/>
  <c r="C16" i="1"/>
  <c r="D16" i="1" s="1"/>
  <c r="C17" i="1"/>
  <c r="D17" i="1" s="1"/>
  <c r="D15" i="1" l="1"/>
</calcChain>
</file>

<file path=xl/sharedStrings.xml><?xml version="1.0" encoding="utf-8"?>
<sst xmlns="http://schemas.openxmlformats.org/spreadsheetml/2006/main" count="52" uniqueCount="50">
  <si>
    <t>pi</t>
  </si>
  <si>
    <t>Subjective probability of bad outcome</t>
  </si>
  <si>
    <t>L</t>
  </si>
  <si>
    <t>Loss with a bad outcome</t>
  </si>
  <si>
    <t>sigma</t>
  </si>
  <si>
    <t>Elasticity</t>
  </si>
  <si>
    <t>pi0</t>
  </si>
  <si>
    <t>Firm accident risk</t>
  </si>
  <si>
    <t>P_G</t>
  </si>
  <si>
    <t>P_B</t>
  </si>
  <si>
    <t>P_C</t>
  </si>
  <si>
    <t>M</t>
  </si>
  <si>
    <t>K</t>
  </si>
  <si>
    <t>Coverage</t>
  </si>
  <si>
    <t>GAMMA</t>
  </si>
  <si>
    <t>PROFIT</t>
  </si>
  <si>
    <t>Firm profit</t>
  </si>
  <si>
    <t>C_G</t>
  </si>
  <si>
    <t>Consumption in the good state</t>
  </si>
  <si>
    <t>C_B</t>
  </si>
  <si>
    <t>Consumption in the bad state</t>
  </si>
  <si>
    <t>Income</t>
  </si>
  <si>
    <t>Consumption Price</t>
  </si>
  <si>
    <t>Consumption Market in Good State</t>
  </si>
  <si>
    <t>Demand in Bad State</t>
  </si>
  <si>
    <t>Demand in Good State</t>
  </si>
  <si>
    <t>Consumption Market in Bad STATe</t>
  </si>
  <si>
    <t>Arbitrage Condition for Insurance</t>
  </si>
  <si>
    <t>Balance</t>
  </si>
  <si>
    <t>Starting Point</t>
  </si>
  <si>
    <t>Equilibrium Values</t>
  </si>
  <si>
    <t>LHS Value</t>
  </si>
  <si>
    <t>RHS Value</t>
  </si>
  <si>
    <t>Equation</t>
  </si>
  <si>
    <t>Maximum value of GAMMA</t>
  </si>
  <si>
    <t>gammamax</t>
  </si>
  <si>
    <t>Symbol</t>
  </si>
  <si>
    <t>Parameter</t>
  </si>
  <si>
    <t>Value</t>
  </si>
  <si>
    <t>Variable</t>
  </si>
  <si>
    <t>Equations</t>
  </si>
  <si>
    <t>Consumption on a good day</t>
  </si>
  <si>
    <t>Consumption on a bad day</t>
  </si>
  <si>
    <t>Consumption price index</t>
  </si>
  <si>
    <t>Premium</t>
  </si>
  <si>
    <t>Number of firms</t>
  </si>
  <si>
    <t>nfirm</t>
  </si>
  <si>
    <t>Lagged value of K</t>
  </si>
  <si>
    <t>k0</t>
  </si>
  <si>
    <t>Deviation: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</si>
</sst>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</xdr:row>
          <xdr:rowOff>161925</xdr:rowOff>
        </xdr:from>
        <xdr:to>
          <xdr:col>0</xdr:col>
          <xdr:colOff>1200150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0E420-C2CF-4493-871F-6394FB1399D4}">
  <sheetPr codeName="Sheet1"/>
  <dimension ref="A1:Q24"/>
  <sheetViews>
    <sheetView tabSelected="1" zoomScaleNormal="100" workbookViewId="0"/>
  </sheetViews>
  <sheetFormatPr defaultRowHeight="15" x14ac:dyDescent="0.25"/>
  <cols>
    <col min="1" max="1" width="35.5703125" bestFit="1" customWidth="1"/>
    <col min="2" max="2" width="15.7109375" bestFit="1" customWidth="1"/>
    <col min="3" max="3" width="14.140625" bestFit="1" customWidth="1"/>
    <col min="4" max="4" width="11" bestFit="1" customWidth="1"/>
    <col min="5" max="5" width="3.7109375" customWidth="1"/>
    <col min="6" max="6" width="92.7109375" bestFit="1" customWidth="1"/>
    <col min="7" max="7" width="11.7109375" bestFit="1" customWidth="1"/>
    <col min="8" max="8" width="24.5703125" bestFit="1" customWidth="1"/>
    <col min="9" max="9" width="38.7109375" bestFit="1" customWidth="1"/>
    <col min="12" max="12" width="32.5703125" bestFit="1" customWidth="1"/>
    <col min="13" max="13" width="18.7109375" bestFit="1" customWidth="1"/>
    <col min="14" max="14" width="12" bestFit="1" customWidth="1"/>
    <col min="16" max="16" width="96.42578125" style="4" bestFit="1" customWidth="1"/>
    <col min="17" max="17" width="63.85546875" style="1" bestFit="1" customWidth="1"/>
  </cols>
  <sheetData>
    <row r="1" spans="1:17" ht="21" x14ac:dyDescent="0.35">
      <c r="A1" s="7" t="s">
        <v>37</v>
      </c>
      <c r="B1" s="7" t="s">
        <v>36</v>
      </c>
      <c r="C1" s="7" t="s">
        <v>38</v>
      </c>
      <c r="D1" s="7"/>
      <c r="E1" s="7"/>
      <c r="F1" s="8" t="s">
        <v>39</v>
      </c>
      <c r="G1" s="7" t="s">
        <v>36</v>
      </c>
      <c r="H1" s="7" t="s">
        <v>30</v>
      </c>
      <c r="I1" s="7" t="s">
        <v>29</v>
      </c>
      <c r="Q1" s="3"/>
    </row>
    <row r="2" spans="1:17" ht="21" x14ac:dyDescent="0.35">
      <c r="A2" t="s">
        <v>1</v>
      </c>
      <c r="B2" s="9" t="s">
        <v>0</v>
      </c>
      <c r="C2">
        <v>0.01</v>
      </c>
      <c r="F2" s="1" t="s">
        <v>41</v>
      </c>
      <c r="G2" s="9" t="s">
        <v>8</v>
      </c>
      <c r="H2">
        <v>0.99</v>
      </c>
      <c r="I2">
        <f>1-pi</f>
        <v>0.99</v>
      </c>
      <c r="Q2" s="2"/>
    </row>
    <row r="3" spans="1:17" ht="21" x14ac:dyDescent="0.35">
      <c r="A3" t="s">
        <v>3</v>
      </c>
      <c r="B3" s="9" t="s">
        <v>2</v>
      </c>
      <c r="C3">
        <v>0.5</v>
      </c>
      <c r="F3" s="1" t="s">
        <v>42</v>
      </c>
      <c r="G3" s="9" t="s">
        <v>9</v>
      </c>
      <c r="H3">
        <v>1.1189189794104389E-2</v>
      </c>
      <c r="I3">
        <f>pi</f>
        <v>0.01</v>
      </c>
      <c r="Q3" s="2"/>
    </row>
    <row r="4" spans="1:17" ht="21" x14ac:dyDescent="0.35">
      <c r="A4" t="s">
        <v>5</v>
      </c>
      <c r="B4" s="9" t="s">
        <v>4</v>
      </c>
      <c r="C4">
        <v>1.1000000000000001</v>
      </c>
      <c r="F4" s="1" t="s">
        <v>43</v>
      </c>
      <c r="G4" s="9" t="s">
        <v>10</v>
      </c>
      <c r="H4">
        <v>1.0011180281932646</v>
      </c>
      <c r="I4">
        <f>1</f>
        <v>1</v>
      </c>
      <c r="Q4" s="2"/>
    </row>
    <row r="5" spans="1:17" ht="21" x14ac:dyDescent="0.35">
      <c r="A5" t="s">
        <v>7</v>
      </c>
      <c r="B5" s="9" t="s">
        <v>6</v>
      </c>
      <c r="C5">
        <v>0.01</v>
      </c>
      <c r="F5" s="1" t="s">
        <v>21</v>
      </c>
      <c r="G5" s="9" t="s">
        <v>11</v>
      </c>
      <c r="H5">
        <v>0.99559459489705227</v>
      </c>
      <c r="I5">
        <f>1-pi+pi*(1-L)</f>
        <v>0.995</v>
      </c>
      <c r="Q5" s="2"/>
    </row>
    <row r="6" spans="1:17" ht="21" x14ac:dyDescent="0.35">
      <c r="A6" t="s">
        <v>47</v>
      </c>
      <c r="B6" s="9" t="s">
        <v>48</v>
      </c>
      <c r="C6">
        <v>0.37485313426062206</v>
      </c>
      <c r="F6" s="1" t="s">
        <v>13</v>
      </c>
      <c r="G6" s="9" t="s">
        <v>12</v>
      </c>
      <c r="H6">
        <v>0.38423309437516079</v>
      </c>
      <c r="I6">
        <f>L</f>
        <v>0.5</v>
      </c>
      <c r="Q6" s="2"/>
    </row>
    <row r="7" spans="1:17" ht="21" x14ac:dyDescent="0.35">
      <c r="A7" t="s">
        <v>34</v>
      </c>
      <c r="B7" s="9" t="s">
        <v>35</v>
      </c>
      <c r="C7">
        <f xml:space="preserve"> pi * (1-L)^(-1/sigma) / ( pi * (1-L)^(-1/sigma) + 1 - pi )</f>
        <v>1.8615202457894213E-2</v>
      </c>
      <c r="F7" s="1" t="s">
        <v>44</v>
      </c>
      <c r="G7" s="9" t="s">
        <v>14</v>
      </c>
      <c r="H7">
        <v>1.11758995321959E-2</v>
      </c>
      <c r="I7">
        <f>pi</f>
        <v>0.01</v>
      </c>
      <c r="Q7" s="2"/>
    </row>
    <row r="8" spans="1:17" ht="21" x14ac:dyDescent="0.35">
      <c r="A8" t="s">
        <v>45</v>
      </c>
      <c r="B8" s="9" t="s">
        <v>46</v>
      </c>
      <c r="C8">
        <v>4</v>
      </c>
      <c r="F8" s="1" t="s">
        <v>18</v>
      </c>
      <c r="G8" s="9" t="s">
        <v>17</v>
      </c>
      <c r="H8">
        <v>0.99570584921763206</v>
      </c>
      <c r="I8">
        <f>1-pi+pi*(1-L)</f>
        <v>0.995</v>
      </c>
      <c r="Q8" s="2"/>
    </row>
    <row r="9" spans="1:17" ht="21" x14ac:dyDescent="0.35">
      <c r="F9" s="1" t="s">
        <v>20</v>
      </c>
      <c r="G9" s="9" t="s">
        <v>19</v>
      </c>
      <c r="H9">
        <v>0.87993894371828174</v>
      </c>
      <c r="I9">
        <f>1-pi+pi*(1-L)</f>
        <v>0.995</v>
      </c>
      <c r="Q9" s="2"/>
    </row>
    <row r="10" spans="1:17" ht="21" x14ac:dyDescent="0.35">
      <c r="F10" s="1" t="s">
        <v>16</v>
      </c>
      <c r="G10" s="9" t="s">
        <v>15</v>
      </c>
      <c r="H10">
        <f>(GAMMA - pi0) * (K - k0*(nfirm-1)/nfirm)</f>
        <v>1.2122729701551034E-4</v>
      </c>
      <c r="I10" t="str">
        <f ca="1">_xlfn.FORMULATEXT(PROFIT)</f>
        <v>=(GAMMA - pi0) * (K - k0*(nfirm-1)/nfirm)</v>
      </c>
    </row>
    <row r="13" spans="1:17" ht="21" x14ac:dyDescent="0.35">
      <c r="A13" s="7" t="s">
        <v>40</v>
      </c>
      <c r="B13" s="8" t="s">
        <v>31</v>
      </c>
      <c r="C13" s="8" t="s">
        <v>32</v>
      </c>
      <c r="D13" s="8" t="s">
        <v>28</v>
      </c>
      <c r="E13" s="8"/>
      <c r="F13" s="6" t="s">
        <v>33</v>
      </c>
    </row>
    <row r="14" spans="1:17" ht="21" x14ac:dyDescent="0.35">
      <c r="A14" t="s">
        <v>23</v>
      </c>
      <c r="B14">
        <f>1</f>
        <v>1</v>
      </c>
      <c r="C14">
        <f>C_G + GAMMA*K</f>
        <v>0.99999999967731357</v>
      </c>
      <c r="D14">
        <f>B14-C14</f>
        <v>3.2268643312960421E-10</v>
      </c>
      <c r="F14" s="5" t="str">
        <f ca="1">MID(_xlfn.FORMULATEXT(B14),2,LEN(_xlfn.FORMULATEXT(B14)))&amp;" = "&amp;MID(_xlfn.FORMULATEXT(C14),2,LEN(_xlfn.FORMULATEXT(C14)))</f>
        <v>1 = C_G + GAMMA*K</v>
      </c>
    </row>
    <row r="15" spans="1:17" ht="21" x14ac:dyDescent="0.35">
      <c r="A15" t="s">
        <v>26</v>
      </c>
      <c r="B15">
        <f>1 - L + K</f>
        <v>0.88423309437516084</v>
      </c>
      <c r="C15">
        <f>C_B + GAMMA*K</f>
        <v>0.88423309417796325</v>
      </c>
      <c r="D15">
        <f>B15-C15</f>
        <v>1.9719759158931538E-10</v>
      </c>
      <c r="F15" s="5" t="str">
        <f ca="1">MID(_xlfn.FORMULATEXT(B15),2,LEN(_xlfn.FORMULATEXT(B15)))&amp;" = "&amp;MID(_xlfn.FORMULATEXT(C15),2,LEN(_xlfn.FORMULATEXT(C15)))</f>
        <v>1 - L + K = C_B + GAMMA*K</v>
      </c>
    </row>
    <row r="16" spans="1:17" ht="21" x14ac:dyDescent="0.35">
      <c r="A16" t="s">
        <v>21</v>
      </c>
      <c r="B16">
        <f>M</f>
        <v>0.99559459489705227</v>
      </c>
      <c r="C16">
        <f>P_G + P_B*(1-L)</f>
        <v>0.99559459489705215</v>
      </c>
      <c r="D16">
        <f>B16-C16</f>
        <v>0</v>
      </c>
      <c r="F16" s="5" t="str">
        <f ca="1">MID(_xlfn.FORMULATEXT(B16),2,LEN(_xlfn.FORMULATEXT(B16)))&amp;" = "&amp;MID(_xlfn.FORMULATEXT(C16),2,LEN(_xlfn.FORMULATEXT(C16)))</f>
        <v>M = P_G + P_B*(1-L)</v>
      </c>
    </row>
    <row r="17" spans="1:6" ht="21" x14ac:dyDescent="0.35">
      <c r="A17" t="s">
        <v>22</v>
      </c>
      <c r="B17">
        <f>P_C</f>
        <v>1.0011180281932646</v>
      </c>
      <c r="C17">
        <f>((1-pi)*(P_G/(1-pi))^(1-sigma)+pi*(P_B/pi)^(1-sigma))^(1/(1-sigma))</f>
        <v>1.0011180280308281</v>
      </c>
      <c r="D17">
        <f t="shared" ref="D17:D20" si="0">B17-C17</f>
        <v>1.6243650868830173E-10</v>
      </c>
      <c r="F17" s="5" t="str">
        <f t="shared" ref="F17:F20" ca="1" si="1">MID(_xlfn.FORMULATEXT(B17),2,LEN(_xlfn.FORMULATEXT(B17)))&amp;" = "&amp;MID(_xlfn.FORMULATEXT(C17),2,LEN(_xlfn.FORMULATEXT(C17)))</f>
        <v>P_C = ((1-pi)*(P_G/(1-pi))^(1-sigma)+pi*(P_B/pi)^(1-sigma))^(1/(1-sigma))</v>
      </c>
    </row>
    <row r="18" spans="1:6" ht="21" x14ac:dyDescent="0.35">
      <c r="A18" t="s">
        <v>25</v>
      </c>
      <c r="B18">
        <f>C_G</f>
        <v>0.99570584921763206</v>
      </c>
      <c r="C18">
        <f>(M/P_C * (P_C*(1-pi)/P_G)^sigma)</f>
        <v>0.99570584921767424</v>
      </c>
      <c r="D18">
        <f t="shared" si="0"/>
        <v>-4.2188474935755949E-14</v>
      </c>
      <c r="F18" s="5" t="str">
        <f t="shared" ca="1" si="1"/>
        <v>C_G = (M/P_C * (P_C*(1-pi)/P_G)^sigma)</v>
      </c>
    </row>
    <row r="19" spans="1:6" ht="21" x14ac:dyDescent="0.35">
      <c r="A19" t="s">
        <v>24</v>
      </c>
      <c r="B19">
        <f>C_B</f>
        <v>0.87993894371828174</v>
      </c>
      <c r="C19">
        <f>(M/P_C * (P_C*pi/P_B)^sigma)</f>
        <v>0.87993897403514043</v>
      </c>
      <c r="D19">
        <f t="shared" si="0"/>
        <v>-3.0316858690149218E-8</v>
      </c>
      <c r="F19" s="5" t="str">
        <f t="shared" ca="1" si="1"/>
        <v>C_B = (M/P_C * (P_C*pi/P_B)^sigma)</v>
      </c>
    </row>
    <row r="20" spans="1:6" ht="21" x14ac:dyDescent="0.35">
      <c r="A20" t="s">
        <v>27</v>
      </c>
      <c r="B20">
        <f>GAMMA*(P_G+P_B)</f>
        <v>1.1189189797859522E-2</v>
      </c>
      <c r="C20">
        <f>P_B</f>
        <v>1.1189189794104389E-2</v>
      </c>
      <c r="D20">
        <f t="shared" si="0"/>
        <v>3.7551333570418066E-12</v>
      </c>
      <c r="F20" s="5" t="str">
        <f t="shared" ca="1" si="1"/>
        <v>GAMMA*(P_G+P_B) = P_B</v>
      </c>
    </row>
    <row r="21" spans="1:6" ht="21" x14ac:dyDescent="0.35">
      <c r="D21">
        <v>0</v>
      </c>
      <c r="F21" s="5"/>
    </row>
    <row r="24" spans="1:6" x14ac:dyDescent="0.25">
      <c r="A24" t="s">
        <v>49</v>
      </c>
      <c r="B24">
        <f>(k0-K)^2</f>
        <v>8.798365175033747E-5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Solve">
                <anchor moveWithCells="1" sizeWithCells="1">
                  <from>
                    <xdr:col>0</xdr:col>
                    <xdr:colOff>19050</xdr:colOff>
                    <xdr:row>20</xdr:row>
                    <xdr:rowOff>161925</xdr:rowOff>
                  </from>
                  <to>
                    <xdr:col>0</xdr:col>
                    <xdr:colOff>1200150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Model</vt:lpstr>
      <vt:lpstr>C_B</vt:lpstr>
      <vt:lpstr>C_G</vt:lpstr>
      <vt:lpstr>GAMMA</vt:lpstr>
      <vt:lpstr>gammamax</vt:lpstr>
      <vt:lpstr>K</vt:lpstr>
      <vt:lpstr>k0</vt:lpstr>
      <vt:lpstr>L</vt:lpstr>
      <vt:lpstr>M</vt:lpstr>
      <vt:lpstr>nfirm</vt:lpstr>
      <vt:lpstr>P_B</vt:lpstr>
      <vt:lpstr>P_C</vt:lpstr>
      <vt:lpstr>P_G</vt:lpstr>
      <vt:lpstr>pi</vt:lpstr>
      <vt:lpstr>pi0</vt:lpstr>
      <vt:lpstr>PROFIT</vt:lpstr>
      <vt:lpstr>sigma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F. Rutherford</dc:creator>
  <cp:lastModifiedBy>Thomas F. Rutherford</cp:lastModifiedBy>
  <dcterms:created xsi:type="dcterms:W3CDTF">2021-02-10T15:20:53Z</dcterms:created>
  <dcterms:modified xsi:type="dcterms:W3CDTF">2021-02-11T03:49:22Z</dcterms:modified>
</cp:coreProperties>
</file>